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ienne\Desktop\"/>
    </mc:Choice>
  </mc:AlternateContent>
  <xr:revisionPtr revIDLastSave="0" documentId="13_ncr:1_{2AE53B3B-B6B3-4FB5-B45D-B465506CD0CD}" xr6:coauthVersionLast="45" xr6:coauthVersionMax="45" xr10:uidLastSave="{00000000-0000-0000-0000-000000000000}"/>
  <bookViews>
    <workbookView xWindow="-120" yWindow="-120" windowWidth="29040" windowHeight="15840" activeTab="1" xr2:uid="{06432256-E376-488B-B834-0E0410DA2413}"/>
  </bookViews>
  <sheets>
    <sheet name="Readme" sheetId="2" r:id="rId1"/>
    <sheet name="FormPT" sheetId="4" r:id="rId2"/>
    <sheet name="ResultsPT" sheetId="3" state="hidden" r:id="rId3"/>
    <sheet name="data" sheetId="5" state="hidden" r:id="rId4"/>
  </sheets>
  <definedNames>
    <definedName name="l">data!$A$2</definedName>
    <definedName name="s">data!$A$1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4" l="1"/>
  <c r="C31" i="4"/>
  <c r="C27" i="4"/>
  <c r="C28" i="4"/>
  <c r="C29" i="4"/>
  <c r="C26" i="4"/>
  <c r="A2" i="5" l="1"/>
  <c r="I23" i="3" l="1"/>
  <c r="J23" i="3" s="1"/>
  <c r="I22" i="3"/>
  <c r="I14" i="3" l="1"/>
  <c r="I5" i="3"/>
  <c r="J5" i="3" s="1"/>
  <c r="D9" i="3"/>
  <c r="D3" i="3"/>
  <c r="I21" i="3"/>
  <c r="J21" i="3" s="1"/>
  <c r="I20" i="3"/>
  <c r="J20" i="3" s="1"/>
  <c r="I19" i="3"/>
  <c r="I18" i="3"/>
  <c r="I17" i="3"/>
  <c r="I16" i="3"/>
  <c r="I11" i="3"/>
  <c r="I9" i="3"/>
  <c r="I4" i="3"/>
  <c r="I3" i="3"/>
  <c r="C3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H17" i="3"/>
  <c r="J17" i="3" s="1"/>
  <c r="H18" i="3"/>
  <c r="H19" i="3"/>
  <c r="H22" i="3"/>
  <c r="J22" i="3" s="1"/>
  <c r="H16" i="3"/>
  <c r="H11" i="3"/>
  <c r="H9" i="3"/>
  <c r="J9" i="3" s="1"/>
  <c r="H4" i="3"/>
  <c r="H3" i="3"/>
  <c r="C30" i="3"/>
  <c r="C29" i="3"/>
  <c r="C28" i="3"/>
  <c r="C27" i="3"/>
  <c r="C26" i="3"/>
  <c r="D5" i="3"/>
  <c r="E5" i="3" s="1"/>
  <c r="C5" i="3"/>
  <c r="D4" i="3"/>
  <c r="E4" i="3" s="1"/>
  <c r="C4" i="3"/>
  <c r="C10" i="3"/>
  <c r="C11" i="3"/>
  <c r="C12" i="3"/>
  <c r="C13" i="3"/>
  <c r="C14" i="3"/>
  <c r="C15" i="3"/>
  <c r="C16" i="3"/>
  <c r="C17" i="3"/>
  <c r="C18" i="3"/>
  <c r="C19" i="3"/>
  <c r="E19" i="3" s="1"/>
  <c r="C20" i="3"/>
  <c r="C21" i="3"/>
  <c r="E21" i="3" s="1"/>
  <c r="C22" i="3"/>
  <c r="E22" i="3" s="1"/>
  <c r="C9" i="3"/>
  <c r="J4" i="3" l="1"/>
  <c r="E14" i="3"/>
  <c r="J16" i="3"/>
  <c r="E12" i="3"/>
  <c r="E11" i="3"/>
  <c r="E15" i="3"/>
  <c r="E13" i="3"/>
  <c r="E17" i="3"/>
  <c r="E10" i="3"/>
  <c r="J18" i="3"/>
  <c r="J19" i="3"/>
  <c r="J14" i="3"/>
  <c r="E18" i="3"/>
  <c r="J11" i="3"/>
  <c r="J12" i="3" s="1"/>
  <c r="J3" i="3"/>
  <c r="E20" i="3"/>
  <c r="E16" i="3"/>
  <c r="E9" i="3"/>
  <c r="E3" i="3"/>
  <c r="J6" i="3" l="1"/>
  <c r="J24" i="3"/>
  <c r="E6" i="3"/>
  <c r="E23" i="3"/>
  <c r="F26" i="3" l="1"/>
  <c r="A35" i="4" s="1"/>
</calcChain>
</file>

<file path=xl/sharedStrings.xml><?xml version="1.0" encoding="utf-8"?>
<sst xmlns="http://schemas.openxmlformats.org/spreadsheetml/2006/main" count="114" uniqueCount="67">
  <si>
    <t>Objective</t>
  </si>
  <si>
    <t xml:space="preserve">In order to control patients over the phone during the </t>
  </si>
  <si>
    <t>#id</t>
  </si>
  <si>
    <t>SITUAÇÃO PESSOAL</t>
  </si>
  <si>
    <t>SINTOMATOLOGIA</t>
  </si>
  <si>
    <t>FEBRE</t>
  </si>
  <si>
    <t>TOSSE</t>
  </si>
  <si>
    <t>CEFALEIAS</t>
  </si>
  <si>
    <t>DOR TORÁCICA</t>
  </si>
  <si>
    <t>MIALGIAS</t>
  </si>
  <si>
    <t>ASTENIA</t>
  </si>
  <si>
    <t>DISPNEIA</t>
  </si>
  <si>
    <t>NÁUSEAS</t>
  </si>
  <si>
    <t>ODINOFAGIA</t>
  </si>
  <si>
    <t>VÓMITOS</t>
  </si>
  <si>
    <t>DIARREIA</t>
  </si>
  <si>
    <t>DOR ABDOMINAL</t>
  </si>
  <si>
    <t>ANÓSMIA</t>
  </si>
  <si>
    <t>CONJUNTIVITE</t>
  </si>
  <si>
    <t>INFORMAÇÃO EPIDEMIOLÓGICA</t>
  </si>
  <si>
    <t>ANTECEDENTES PESSOAIS</t>
  </si>
  <si>
    <t>Ver no SClinic</t>
  </si>
  <si>
    <t>DADOS OBJECTIVOS</t>
  </si>
  <si>
    <t>Bom estado geral</t>
  </si>
  <si>
    <t>Eupneico? Discurso fluente</t>
  </si>
  <si>
    <t>Normalmente corado e hidratado</t>
  </si>
  <si>
    <t>Temperatura? Sudorese</t>
  </si>
  <si>
    <t>Edemas</t>
  </si>
  <si>
    <t>PLANO</t>
  </si>
  <si>
    <t>Medidas de distanciamento social</t>
  </si>
  <si>
    <t>Manutenção de cuidados</t>
  </si>
  <si>
    <t xml:space="preserve">Explicar sintomas de alarme </t>
  </si>
  <si>
    <t xml:space="preserve">Reforçar disponibilidade da equipa por telefone ou email </t>
  </si>
  <si>
    <t>Contacto com LAM / Envio ao SU</t>
  </si>
  <si>
    <t>IDENTIFICAÇÃO</t>
  </si>
  <si>
    <t>Resultado</t>
  </si>
  <si>
    <t>TA –?</t>
  </si>
  <si>
    <t xml:space="preserve">FC – ? </t>
  </si>
  <si>
    <t xml:space="preserve"> que antecedem o início dos sintomas</t>
  </si>
  <si>
    <t>/suspeito assintomático:</t>
  </si>
  <si>
    <t>Nome completo</t>
  </si>
  <si>
    <t>Data</t>
  </si>
  <si>
    <t>data</t>
  </si>
  <si>
    <t xml:space="preserve"> </t>
  </si>
  <si>
    <t>Contacto direto com caso confirmado</t>
  </si>
  <si>
    <t>Estadia em área de transmissão local nos 14 dias</t>
  </si>
  <si>
    <t>tem apoio em compras, ou refeições?</t>
  </si>
  <si>
    <t>Vive sozinho? Consegue cumprir isolamento?</t>
  </si>
  <si>
    <t>como está a parte psicológica?</t>
  </si>
  <si>
    <t>following weeks, doctors need to generate a daily report</t>
  </si>
  <si>
    <t>for each patient with their health status,</t>
  </si>
  <si>
    <t>and report the information in the national system</t>
  </si>
  <si>
    <t>Reforçar disponibilidade da</t>
  </si>
  <si>
    <t xml:space="preserve">equipa por telefone ou email </t>
  </si>
  <si>
    <t>Tem apoio em compras, ou refeições?</t>
  </si>
  <si>
    <t>Como está a parte psicológica?</t>
  </si>
  <si>
    <t>TA – ?</t>
  </si>
  <si>
    <t>Info</t>
  </si>
  <si>
    <t>unlock</t>
  </si>
  <si>
    <t>The smallest change in the file may break formulas</t>
  </si>
  <si>
    <t>Otro ?</t>
  </si>
  <si>
    <t>Otro</t>
  </si>
  <si>
    <t>Contact</t>
  </si>
  <si>
    <t>Etienne Janel</t>
  </si>
  <si>
    <t>This file generates summarized text result once completed</t>
  </si>
  <si>
    <t>password to unlock the sheet/workbook:</t>
  </si>
  <si>
    <t>https://www.linkedin.com/in/etienne-janel-41bb4491/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</si>
</sst>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</fills>
  <borders count="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0" applyFont="1"/>
    <xf numFmtId="0" fontId="0" fillId="0" borderId="0" xfId="0" applyFont="1" applyBorder="1" applyAlignment="1">
      <alignment horizontal="right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0" fontId="0" fillId="0" borderId="0" xfId="0" applyFont="1" applyBorder="1" applyAlignment="1">
      <alignment horizontal="right" vertical="center" wrapText="1"/>
    </xf>
    <xf numFmtId="0" fontId="1" fillId="2" borderId="2" xfId="0" applyFont="1" applyFill="1" applyBorder="1" applyAlignment="1">
      <alignment vertical="center" wrapText="1"/>
    </xf>
    <xf numFmtId="0" fontId="0" fillId="0" borderId="0" xfId="0" quotePrefix="1" applyFont="1" applyBorder="1" applyAlignment="1">
      <alignment horizontal="right" vertical="center" wrapText="1" indent="1"/>
    </xf>
    <xf numFmtId="0" fontId="0" fillId="0" borderId="0" xfId="0" applyAlignment="1">
      <alignment horizontal="right" indent="1"/>
    </xf>
    <xf numFmtId="0" fontId="0" fillId="0" borderId="0" xfId="0" applyFont="1" applyBorder="1" applyAlignment="1">
      <alignment horizontal="right" vertical="center" wrapText="1" indent="1"/>
    </xf>
    <xf numFmtId="0" fontId="1" fillId="2" borderId="0" xfId="0" applyFont="1" applyFill="1" applyBorder="1" applyAlignment="1">
      <alignment horizontal="right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Fill="1" applyBorder="1" applyAlignment="1">
      <alignment horizontal="right" vertical="center"/>
    </xf>
    <xf numFmtId="0" fontId="0" fillId="0" borderId="0" xfId="0" applyFill="1"/>
    <xf numFmtId="0" fontId="1" fillId="0" borderId="0" xfId="0" applyFont="1" applyFill="1" applyBorder="1" applyAlignment="1">
      <alignment horizontal="center" vertical="center" wrapText="1"/>
    </xf>
    <xf numFmtId="0" fontId="0" fillId="4" borderId="0" xfId="0" applyFill="1"/>
    <xf numFmtId="164" fontId="0" fillId="4" borderId="0" xfId="0" applyNumberFormat="1" applyFill="1"/>
    <xf numFmtId="0" fontId="0" fillId="5" borderId="0" xfId="0" applyFill="1"/>
    <xf numFmtId="0" fontId="0" fillId="6" borderId="0" xfId="0" applyFill="1"/>
    <xf numFmtId="0" fontId="0" fillId="0" borderId="0" xfId="0" quotePrefix="1"/>
    <xf numFmtId="0" fontId="2" fillId="0" borderId="0" xfId="0" applyFont="1" applyFill="1" applyBorder="1"/>
    <xf numFmtId="14" fontId="0" fillId="3" borderId="3" xfId="0" applyNumberFormat="1" applyFill="1" applyBorder="1" applyProtection="1">
      <protection locked="0"/>
    </xf>
    <xf numFmtId="0" fontId="0" fillId="3" borderId="3" xfId="0" applyFill="1" applyBorder="1" applyProtection="1">
      <protection locked="0"/>
    </xf>
    <xf numFmtId="0" fontId="1" fillId="0" borderId="0" xfId="0" applyFont="1" applyFill="1" applyBorder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3" fillId="0" borderId="0" xfId="1"/>
    <xf numFmtId="0" fontId="0" fillId="0" borderId="0" xfId="0" applyAlignment="1" applyProtection="1">
      <alignment wrapText="1"/>
      <protection locked="0" hidden="1"/>
    </xf>
    <xf numFmtId="0" fontId="0" fillId="0" borderId="0" xfId="0" applyAlignment="1">
      <alignment wrapText="1"/>
    </xf>
    <xf numFmtId="0" fontId="0" fillId="7" borderId="0" xfId="0" applyFill="1" applyAlignment="1">
      <alignment horizontal="left" wrapText="1"/>
    </xf>
    <xf numFmtId="0" fontId="1" fillId="0" borderId="0" xfId="0" applyFont="1" applyFill="1" applyBorder="1" applyAlignment="1" applyProtection="1">
      <alignment horizontal="right" vertical="center"/>
    </xf>
    <xf numFmtId="0" fontId="0" fillId="0" borderId="0" xfId="0" applyProtection="1"/>
    <xf numFmtId="0" fontId="0" fillId="2" borderId="0" xfId="0" applyFont="1" applyFill="1" applyBorder="1" applyAlignment="1">
      <alignment horizontal="right" wrapText="1"/>
    </xf>
    <xf numFmtId="0" fontId="0" fillId="2" borderId="0" xfId="0" applyFill="1"/>
    <xf numFmtId="0" fontId="0" fillId="2" borderId="0" xfId="0" applyFill="1" applyProtection="1">
      <protection locked="0"/>
    </xf>
    <xf numFmtId="0" fontId="0" fillId="2" borderId="0" xfId="0" applyFill="1" applyProtection="1"/>
    <xf numFmtId="0" fontId="1" fillId="2" borderId="0" xfId="0" applyFont="1" applyFill="1" applyBorder="1" applyAlignment="1">
      <alignment horizontal="right" vertical="center" wrapText="1"/>
    </xf>
    <xf numFmtId="0" fontId="0" fillId="3" borderId="4" xfId="0" applyFill="1" applyBorder="1" applyAlignment="1" applyProtection="1">
      <alignment horizontal="left" vertical="top" wrapText="1"/>
      <protection locked="0" hidden="1"/>
    </xf>
    <xf numFmtId="0" fontId="0" fillId="3" borderId="5" xfId="0" applyFill="1" applyBorder="1" applyAlignment="1" applyProtection="1">
      <alignment horizontal="left" vertical="top" wrapText="1"/>
      <protection locked="0" hidden="1"/>
    </xf>
    <xf numFmtId="0" fontId="0" fillId="3" borderId="6" xfId="0" applyFill="1" applyBorder="1" applyAlignment="1" applyProtection="1">
      <alignment horizontal="left" vertical="top" wrapText="1"/>
      <protection locked="0" hidden="1"/>
    </xf>
    <xf numFmtId="0" fontId="0" fillId="3" borderId="7" xfId="0" applyFill="1" applyBorder="1" applyAlignment="1" applyProtection="1">
      <alignment horizontal="left" vertical="top" wrapText="1"/>
      <protection locked="0" hidden="1"/>
    </xf>
    <xf numFmtId="0" fontId="0" fillId="3" borderId="0" xfId="0" applyFill="1" applyBorder="1" applyAlignment="1" applyProtection="1">
      <alignment horizontal="left" vertical="top" wrapText="1"/>
      <protection locked="0" hidden="1"/>
    </xf>
    <xf numFmtId="0" fontId="0" fillId="3" borderId="1" xfId="0" applyFill="1" applyBorder="1" applyAlignment="1" applyProtection="1">
      <alignment horizontal="left" vertical="top" wrapText="1"/>
      <protection locked="0" hidden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J$3" lockText="1" noThreeD="1"/>
</file>

<file path=xl/ctrlProps/ctrlProp2.xml><?xml version="1.0" encoding="utf-8"?>
<formControlPr xmlns="http://schemas.microsoft.com/office/spreadsheetml/2009/9/main" objectType="CheckBox" fmlaLink="$J$4" lockText="1" noThreeD="1"/>
</file>

<file path=xl/ctrlProps/ctrlProp3.xml><?xml version="1.0" encoding="utf-8"?>
<formControlPr xmlns="http://schemas.microsoft.com/office/spreadsheetml/2009/9/main" objectType="CheckBox" fmlaLink="$I$9" lockText="1" noThreeD="1"/>
</file>

<file path=xl/ctrlProps/ctrlProp4.xml><?xml version="1.0" encoding="utf-8"?>
<formControlPr xmlns="http://schemas.microsoft.com/office/spreadsheetml/2009/9/main" objectType="CheckBox" fmlaLink="$I$10" lockText="1" noThreeD="1"/>
</file>

<file path=xl/ctrlProps/ctrlProp5.xml><?xml version="1.0" encoding="utf-8"?>
<formControlPr xmlns="http://schemas.microsoft.com/office/spreadsheetml/2009/9/main" objectType="CheckBox" fmlaLink="$I$11" lockText="1" noThreeD="1"/>
</file>

<file path=xl/ctrlProps/ctrlProp6.xml><?xml version="1.0" encoding="utf-8"?>
<formControlPr xmlns="http://schemas.microsoft.com/office/spreadsheetml/2009/9/main" objectType="CheckBox" fmlaLink="$I$12" lockText="1" noThreeD="1"/>
</file>

<file path=xl/ctrlProps/ctrlProp7.xml><?xml version="1.0" encoding="utf-8"?>
<formControlPr xmlns="http://schemas.microsoft.com/office/spreadsheetml/2009/9/main" objectType="CheckBox" fmlaLink="$I$13" lockText="1" noThreeD="1"/>
</file>

<file path=xl/ctrlProps/ctrlProp8.xml><?xml version="1.0" encoding="utf-8"?>
<formControlPr xmlns="http://schemas.microsoft.com/office/spreadsheetml/2009/9/main" objectType="CheckBox" fmlaLink="$I$14" lockText="1" noThreeD="1"/>
</file>

<file path=xl/ctrlProps/ctrlProp9.xml><?xml version="1.0" encoding="utf-8"?>
<formControlPr xmlns="http://schemas.microsoft.com/office/spreadsheetml/2009/9/main" objectType="CheckBox" fmlaLink="$I$15" lockText="1" noThreeD="1"/>
</file>

<file path=xl/ctrlProps/ctrlProp10.xml><?xml version="1.0" encoding="utf-8"?>
<formControlPr xmlns="http://schemas.microsoft.com/office/spreadsheetml/2009/9/main" objectType="CheckBox" fmlaLink="$I$16" lockText="1" noThreeD="1"/>
</file>

<file path=xl/ctrlProps/ctrlProp11.xml><?xml version="1.0" encoding="utf-8"?>
<formControlPr xmlns="http://schemas.microsoft.com/office/spreadsheetml/2009/9/main" objectType="CheckBox" fmlaLink="$I$17" lockText="1" noThreeD="1"/>
</file>

<file path=xl/ctrlProps/ctrlProp12.xml><?xml version="1.0" encoding="utf-8"?>
<formControlPr xmlns="http://schemas.microsoft.com/office/spreadsheetml/2009/9/main" objectType="CheckBox" fmlaLink="$I$18" lockText="1" noThreeD="1"/>
</file>

<file path=xl/ctrlProps/ctrlProp13.xml><?xml version="1.0" encoding="utf-8"?>
<formControlPr xmlns="http://schemas.microsoft.com/office/spreadsheetml/2009/9/main" objectType="CheckBox" fmlaLink="$I$19" lockText="1" noThreeD="1"/>
</file>

<file path=xl/ctrlProps/ctrlProp14.xml><?xml version="1.0" encoding="utf-8"?>
<formControlPr xmlns="http://schemas.microsoft.com/office/spreadsheetml/2009/9/main" objectType="CheckBox" fmlaLink="$I$20" lockText="1" noThreeD="1"/>
</file>

<file path=xl/ctrlProps/ctrlProp15.xml><?xml version="1.0" encoding="utf-8"?>
<formControlPr xmlns="http://schemas.microsoft.com/office/spreadsheetml/2009/9/main" objectType="CheckBox" fmlaLink="$I$21" lockText="1" noThreeD="1"/>
</file>

<file path=xl/ctrlProps/ctrlProp16.xml><?xml version="1.0" encoding="utf-8"?>
<formControlPr xmlns="http://schemas.microsoft.com/office/spreadsheetml/2009/9/main" objectType="CheckBox" fmlaLink="$I$22" lockText="1" noThreeD="1"/>
</file>

<file path=xl/ctrlProps/ctrlProp17.xml><?xml version="1.0" encoding="utf-8"?>
<formControlPr xmlns="http://schemas.microsoft.com/office/spreadsheetml/2009/9/main" objectType="CheckBox" fmlaLink="$J$9" lockText="1" noThreeD="1"/>
</file>

<file path=xl/ctrlProps/ctrlProp18.xml><?xml version="1.0" encoding="utf-8"?>
<formControlPr xmlns="http://schemas.microsoft.com/office/spreadsheetml/2009/9/main" objectType="CheckBox" fmlaLink="$J$11" lockText="1" noThreeD="1"/>
</file>

<file path=xl/ctrlProps/ctrlProp19.xml><?xml version="1.0" encoding="utf-8"?>
<formControlPr xmlns="http://schemas.microsoft.com/office/spreadsheetml/2009/9/main" objectType="CheckBox" fmlaLink="$J$16" lockText="1" noThreeD="1"/>
</file>

<file path=xl/ctrlProps/ctrlProp20.xml><?xml version="1.0" encoding="utf-8"?>
<formControlPr xmlns="http://schemas.microsoft.com/office/spreadsheetml/2009/9/main" objectType="CheckBox" fmlaLink="$J$17" lockText="1" noThreeD="1"/>
</file>

<file path=xl/ctrlProps/ctrlProp21.xml><?xml version="1.0" encoding="utf-8"?>
<formControlPr xmlns="http://schemas.microsoft.com/office/spreadsheetml/2009/9/main" objectType="CheckBox" fmlaLink="$J$18" lockText="1" noThreeD="1"/>
</file>

<file path=xl/ctrlProps/ctrlProp22.xml><?xml version="1.0" encoding="utf-8"?>
<formControlPr xmlns="http://schemas.microsoft.com/office/spreadsheetml/2009/9/main" objectType="CheckBox" fmlaLink="$J$19" lockText="1" noThreeD="1"/>
</file>

<file path=xl/ctrlProps/ctrlProp23.xml><?xml version="1.0" encoding="utf-8"?>
<formControlPr xmlns="http://schemas.microsoft.com/office/spreadsheetml/2009/9/main" objectType="CheckBox" fmlaLink="$J$22" lockText="1" noThreeD="1"/>
</file>

<file path=xl/ctrlProps/ctrlProp24.xml><?xml version="1.0" encoding="utf-8"?>
<formControlPr xmlns="http://schemas.microsoft.com/office/spreadsheetml/2009/9/main" objectType="CheckBox" fmlaLink="$I$26" lockText="1" noThreeD="1"/>
</file>

<file path=xl/ctrlProps/ctrlProp25.xml><?xml version="1.0" encoding="utf-8"?>
<formControlPr xmlns="http://schemas.microsoft.com/office/spreadsheetml/2009/9/main" objectType="CheckBox" fmlaLink="$I$27" lockText="1" noThreeD="1"/>
</file>

<file path=xl/ctrlProps/ctrlProp26.xml><?xml version="1.0" encoding="utf-8"?>
<formControlPr xmlns="http://schemas.microsoft.com/office/spreadsheetml/2009/9/main" objectType="CheckBox" fmlaLink="$I$28" lockText="1" noThreeD="1"/>
</file>

<file path=xl/ctrlProps/ctrlProp27.xml><?xml version="1.0" encoding="utf-8"?>
<formControlPr xmlns="http://schemas.microsoft.com/office/spreadsheetml/2009/9/main" objectType="CheckBox" fmlaLink="$I$29" lockText="1" noThreeD="1"/>
</file>

<file path=xl/ctrlProps/ctrlProp28.xml><?xml version="1.0" encoding="utf-8"?>
<formControlPr xmlns="http://schemas.microsoft.com/office/spreadsheetml/2009/9/main" objectType="CheckBox" fmlaLink="$I$31" lockText="1" noThreeD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47625</xdr:rowOff>
        </xdr:from>
        <xdr:to>
          <xdr:col>5</xdr:col>
          <xdr:colOff>280147</xdr:colOff>
          <xdr:row>3</xdr:row>
          <xdr:rowOff>9525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</xdr:row>
          <xdr:rowOff>180975</xdr:rowOff>
        </xdr:from>
        <xdr:to>
          <xdr:col>5</xdr:col>
          <xdr:colOff>280147</xdr:colOff>
          <xdr:row>4</xdr:row>
          <xdr:rowOff>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9525</xdr:rowOff>
        </xdr:from>
        <xdr:to>
          <xdr:col>2</xdr:col>
          <xdr:colOff>47625</xdr:colOff>
          <xdr:row>8</xdr:row>
          <xdr:rowOff>180975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171450</xdr:rowOff>
        </xdr:from>
        <xdr:to>
          <xdr:col>1</xdr:col>
          <xdr:colOff>276225</xdr:colOff>
          <xdr:row>10</xdr:row>
          <xdr:rowOff>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276225</xdr:colOff>
          <xdr:row>11</xdr:row>
          <xdr:rowOff>9525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180975</xdr:rowOff>
        </xdr:from>
        <xdr:to>
          <xdr:col>2</xdr:col>
          <xdr:colOff>114300</xdr:colOff>
          <xdr:row>12</xdr:row>
          <xdr:rowOff>9525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142875</xdr:rowOff>
        </xdr:from>
        <xdr:to>
          <xdr:col>1</xdr:col>
          <xdr:colOff>247650</xdr:colOff>
          <xdr:row>13</xdr:row>
          <xdr:rowOff>47625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142875</xdr:rowOff>
        </xdr:from>
        <xdr:to>
          <xdr:col>1</xdr:col>
          <xdr:colOff>247650</xdr:colOff>
          <xdr:row>14</xdr:row>
          <xdr:rowOff>47625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13</xdr:row>
          <xdr:rowOff>152400</xdr:rowOff>
        </xdr:from>
        <xdr:to>
          <xdr:col>1</xdr:col>
          <xdr:colOff>247650</xdr:colOff>
          <xdr:row>15</xdr:row>
          <xdr:rowOff>57150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152400</xdr:rowOff>
        </xdr:from>
        <xdr:to>
          <xdr:col>1</xdr:col>
          <xdr:colOff>247650</xdr:colOff>
          <xdr:row>16</xdr:row>
          <xdr:rowOff>57150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15</xdr:row>
          <xdr:rowOff>133350</xdr:rowOff>
        </xdr:from>
        <xdr:to>
          <xdr:col>1</xdr:col>
          <xdr:colOff>247650</xdr:colOff>
          <xdr:row>17</xdr:row>
          <xdr:rowOff>38100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16</xdr:row>
          <xdr:rowOff>152400</xdr:rowOff>
        </xdr:from>
        <xdr:to>
          <xdr:col>1</xdr:col>
          <xdr:colOff>247650</xdr:colOff>
          <xdr:row>18</xdr:row>
          <xdr:rowOff>57150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17</xdr:row>
          <xdr:rowOff>152400</xdr:rowOff>
        </xdr:from>
        <xdr:to>
          <xdr:col>1</xdr:col>
          <xdr:colOff>247650</xdr:colOff>
          <xdr:row>19</xdr:row>
          <xdr:rowOff>57150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18</xdr:row>
          <xdr:rowOff>142875</xdr:rowOff>
        </xdr:from>
        <xdr:to>
          <xdr:col>1</xdr:col>
          <xdr:colOff>247650</xdr:colOff>
          <xdr:row>20</xdr:row>
          <xdr:rowOff>47625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19</xdr:row>
          <xdr:rowOff>142875</xdr:rowOff>
        </xdr:from>
        <xdr:to>
          <xdr:col>1</xdr:col>
          <xdr:colOff>247650</xdr:colOff>
          <xdr:row>21</xdr:row>
          <xdr:rowOff>47625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20</xdr:row>
          <xdr:rowOff>152400</xdr:rowOff>
        </xdr:from>
        <xdr:to>
          <xdr:col>1</xdr:col>
          <xdr:colOff>247650</xdr:colOff>
          <xdr:row>22</xdr:row>
          <xdr:rowOff>57150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1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</xdr:row>
          <xdr:rowOff>0</xdr:rowOff>
        </xdr:from>
        <xdr:to>
          <xdr:col>5</xdr:col>
          <xdr:colOff>266700</xdr:colOff>
          <xdr:row>9</xdr:row>
          <xdr:rowOff>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9</xdr:row>
          <xdr:rowOff>142875</xdr:rowOff>
        </xdr:from>
        <xdr:to>
          <xdr:col>5</xdr:col>
          <xdr:colOff>257175</xdr:colOff>
          <xdr:row>11</xdr:row>
          <xdr:rowOff>47625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1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14</xdr:row>
          <xdr:rowOff>133350</xdr:rowOff>
        </xdr:from>
        <xdr:to>
          <xdr:col>5</xdr:col>
          <xdr:colOff>247650</xdr:colOff>
          <xdr:row>16</xdr:row>
          <xdr:rowOff>38100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15</xdr:row>
          <xdr:rowOff>142875</xdr:rowOff>
        </xdr:from>
        <xdr:to>
          <xdr:col>5</xdr:col>
          <xdr:colOff>247650</xdr:colOff>
          <xdr:row>17</xdr:row>
          <xdr:rowOff>47625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16</xdr:row>
          <xdr:rowOff>142875</xdr:rowOff>
        </xdr:from>
        <xdr:to>
          <xdr:col>5</xdr:col>
          <xdr:colOff>247650</xdr:colOff>
          <xdr:row>18</xdr:row>
          <xdr:rowOff>47625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17</xdr:row>
          <xdr:rowOff>142875</xdr:rowOff>
        </xdr:from>
        <xdr:to>
          <xdr:col>5</xdr:col>
          <xdr:colOff>247650</xdr:colOff>
          <xdr:row>19</xdr:row>
          <xdr:rowOff>47625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152400</xdr:rowOff>
        </xdr:from>
        <xdr:to>
          <xdr:col>5</xdr:col>
          <xdr:colOff>247650</xdr:colOff>
          <xdr:row>22</xdr:row>
          <xdr:rowOff>57150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9525</xdr:rowOff>
        </xdr:from>
        <xdr:to>
          <xdr:col>1</xdr:col>
          <xdr:colOff>238125</xdr:colOff>
          <xdr:row>26</xdr:row>
          <xdr:rowOff>47625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152400</xdr:rowOff>
        </xdr:from>
        <xdr:to>
          <xdr:col>1</xdr:col>
          <xdr:colOff>238125</xdr:colOff>
          <xdr:row>27</xdr:row>
          <xdr:rowOff>57150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152400</xdr:rowOff>
        </xdr:from>
        <xdr:to>
          <xdr:col>1</xdr:col>
          <xdr:colOff>238125</xdr:colOff>
          <xdr:row>28</xdr:row>
          <xdr:rowOff>57150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142875</xdr:rowOff>
        </xdr:from>
        <xdr:to>
          <xdr:col>1</xdr:col>
          <xdr:colOff>238125</xdr:colOff>
          <xdr:row>29</xdr:row>
          <xdr:rowOff>47625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161925</xdr:rowOff>
        </xdr:from>
        <xdr:to>
          <xdr:col>1</xdr:col>
          <xdr:colOff>247650</xdr:colOff>
          <xdr:row>31</xdr:row>
          <xdr:rowOff>30256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1173257</xdr:colOff>
          <xdr:row>34</xdr:row>
          <xdr:rowOff>74520</xdr:rowOff>
        </xdr:from>
        <xdr:to>
          <xdr:col>6</xdr:col>
          <xdr:colOff>2584638</xdr:colOff>
          <xdr:row>36</xdr:row>
          <xdr:rowOff>131670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linkedin.com/in/etienne-janel-41bb4491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7C6A8-8517-4650-A8B0-BB6C42712467}">
  <sheetPr codeName="Sheet2"/>
  <dimension ref="A1:E15"/>
  <sheetViews>
    <sheetView showGridLines="0" workbookViewId="0"/>
  </sheetViews>
  <sheetFormatPr defaultRowHeight="15" x14ac:dyDescent="0.25"/>
  <sheetData>
    <row r="1" spans="1:5" x14ac:dyDescent="0.25">
      <c r="A1" s="1" t="s">
        <v>0</v>
      </c>
    </row>
    <row r="2" spans="1:5" x14ac:dyDescent="0.25">
      <c r="A2" t="s">
        <v>1</v>
      </c>
    </row>
    <row r="3" spans="1:5" x14ac:dyDescent="0.25">
      <c r="A3" t="s">
        <v>49</v>
      </c>
    </row>
    <row r="4" spans="1:5" x14ac:dyDescent="0.25">
      <c r="A4" t="s">
        <v>50</v>
      </c>
    </row>
    <row r="5" spans="1:5" x14ac:dyDescent="0.25">
      <c r="A5" t="s">
        <v>51</v>
      </c>
    </row>
    <row r="7" spans="1:5" x14ac:dyDescent="0.25">
      <c r="A7" t="s">
        <v>64</v>
      </c>
    </row>
    <row r="9" spans="1:5" x14ac:dyDescent="0.25">
      <c r="A9" s="1" t="s">
        <v>57</v>
      </c>
    </row>
    <row r="10" spans="1:5" x14ac:dyDescent="0.25">
      <c r="A10" t="s">
        <v>65</v>
      </c>
      <c r="E10" s="1" t="s">
        <v>58</v>
      </c>
    </row>
    <row r="11" spans="1:5" x14ac:dyDescent="0.25">
      <c r="A11" t="s">
        <v>59</v>
      </c>
    </row>
    <row r="13" spans="1:5" x14ac:dyDescent="0.25">
      <c r="A13" s="1" t="s">
        <v>62</v>
      </c>
    </row>
    <row r="14" spans="1:5" x14ac:dyDescent="0.25">
      <c r="A14" t="s">
        <v>63</v>
      </c>
    </row>
    <row r="15" spans="1:5" x14ac:dyDescent="0.25">
      <c r="A15" s="25" t="s">
        <v>66</v>
      </c>
    </row>
  </sheetData>
  <hyperlinks>
    <hyperlink ref="A15" r:id="rId1" xr:uid="{2B24CBE8-3881-48D1-9237-F357D4BAD00F}"/>
  </hyperlinks>
  <pageMargins left="0.7" right="0.7" top="0.75" bottom="0.75" header="0.3" footer="0.3"/>
  <pageSetup paperSize="9"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CED15-92A8-4C56-85CC-21533D64846D}">
  <sheetPr codeName="Sheet4"/>
  <dimension ref="A1:L64"/>
  <sheetViews>
    <sheetView showGridLines="0" tabSelected="1" zoomScale="85" zoomScaleNormal="85" workbookViewId="0">
      <selection activeCell="C3" sqref="C3"/>
    </sheetView>
  </sheetViews>
  <sheetFormatPr defaultRowHeight="15" x14ac:dyDescent="0.25"/>
  <cols>
    <col min="1" max="1" width="32.5703125" style="2" bestFit="1" customWidth="1"/>
    <col min="2" max="2" width="4.5703125" customWidth="1"/>
    <col min="3" max="3" width="36" customWidth="1"/>
    <col min="4" max="4" width="2.5703125" customWidth="1"/>
    <col min="5" max="5" width="49.7109375" bestFit="1" customWidth="1"/>
    <col min="6" max="6" width="4.42578125" customWidth="1"/>
    <col min="7" max="7" width="39.5703125" customWidth="1"/>
    <col min="9" max="9" width="17.85546875" style="24" hidden="1" customWidth="1"/>
    <col min="10" max="10" width="30.28515625" style="30" hidden="1" customWidth="1"/>
  </cols>
  <sheetData>
    <row r="1" spans="1:10" x14ac:dyDescent="0.25">
      <c r="A1" s="6"/>
      <c r="B1" s="10" t="s">
        <v>34</v>
      </c>
      <c r="C1" s="4"/>
      <c r="E1" s="3"/>
      <c r="F1" s="10" t="s">
        <v>3</v>
      </c>
      <c r="G1" s="10"/>
      <c r="I1" s="10" t="s">
        <v>34</v>
      </c>
      <c r="J1" s="10" t="s">
        <v>3</v>
      </c>
    </row>
    <row r="2" spans="1:10" s="13" customFormat="1" ht="4.5" customHeight="1" x14ac:dyDescent="0.25">
      <c r="A2" s="11"/>
      <c r="B2" s="12"/>
      <c r="C2" s="11"/>
      <c r="E2" s="14"/>
      <c r="F2" s="12"/>
      <c r="G2" s="12"/>
      <c r="I2" s="23"/>
      <c r="J2" s="29"/>
    </row>
    <row r="3" spans="1:10" x14ac:dyDescent="0.25">
      <c r="A3" s="2" t="s">
        <v>41</v>
      </c>
      <c r="C3" s="21">
        <f ca="1">+TODAY()</f>
        <v>43916</v>
      </c>
      <c r="E3" s="2" t="s">
        <v>47</v>
      </c>
      <c r="G3" s="22"/>
      <c r="J3" s="24"/>
    </row>
    <row r="4" spans="1:10" x14ac:dyDescent="0.25">
      <c r="A4" s="2" t="s">
        <v>40</v>
      </c>
      <c r="C4" s="22"/>
      <c r="E4" s="2" t="s">
        <v>54</v>
      </c>
      <c r="G4" s="22"/>
      <c r="J4" s="24"/>
    </row>
    <row r="5" spans="1:10" x14ac:dyDescent="0.25">
      <c r="A5" s="2" t="s">
        <v>2</v>
      </c>
      <c r="C5" s="22"/>
      <c r="E5" s="2" t="s">
        <v>55</v>
      </c>
      <c r="G5" s="22"/>
      <c r="J5" s="24"/>
    </row>
    <row r="7" spans="1:10" x14ac:dyDescent="0.25">
      <c r="A7" s="3"/>
      <c r="B7" s="10" t="s">
        <v>4</v>
      </c>
      <c r="C7" s="10"/>
      <c r="E7" s="3"/>
      <c r="F7" s="10" t="s">
        <v>19</v>
      </c>
      <c r="G7" s="10"/>
      <c r="I7" s="10" t="s">
        <v>4</v>
      </c>
      <c r="J7" s="10" t="s">
        <v>19</v>
      </c>
    </row>
    <row r="8" spans="1:10" s="13" customFormat="1" ht="4.5" customHeight="1" x14ac:dyDescent="0.25">
      <c r="A8" s="11"/>
      <c r="B8" s="12"/>
      <c r="C8" s="11"/>
      <c r="E8" s="14"/>
      <c r="F8" s="12"/>
      <c r="G8" s="12"/>
      <c r="I8" s="23"/>
      <c r="J8" s="29"/>
    </row>
    <row r="9" spans="1:10" x14ac:dyDescent="0.25">
      <c r="A9" s="5" t="s">
        <v>5</v>
      </c>
      <c r="C9" s="22"/>
      <c r="E9" s="7" t="s">
        <v>44</v>
      </c>
      <c r="G9" s="22"/>
      <c r="J9" s="24"/>
    </row>
    <row r="10" spans="1:10" x14ac:dyDescent="0.25">
      <c r="A10" s="5" t="s">
        <v>6</v>
      </c>
      <c r="C10" s="22"/>
      <c r="E10" s="8" t="s">
        <v>39</v>
      </c>
    </row>
    <row r="11" spans="1:10" x14ac:dyDescent="0.25">
      <c r="A11" s="5" t="s">
        <v>7</v>
      </c>
      <c r="C11" s="22"/>
      <c r="E11" s="8" t="s">
        <v>45</v>
      </c>
      <c r="G11" s="22"/>
      <c r="J11" s="24"/>
    </row>
    <row r="12" spans="1:10" x14ac:dyDescent="0.25">
      <c r="A12" s="5" t="s">
        <v>8</v>
      </c>
      <c r="C12" s="22"/>
      <c r="E12" s="9" t="s">
        <v>38</v>
      </c>
    </row>
    <row r="13" spans="1:10" x14ac:dyDescent="0.25">
      <c r="A13" s="5" t="s">
        <v>9</v>
      </c>
      <c r="C13" s="22"/>
      <c r="E13" s="3"/>
      <c r="F13" s="10" t="s">
        <v>20</v>
      </c>
      <c r="G13" s="10"/>
      <c r="J13" s="10" t="s">
        <v>20</v>
      </c>
    </row>
    <row r="14" spans="1:10" x14ac:dyDescent="0.25">
      <c r="A14" s="5" t="s">
        <v>10</v>
      </c>
      <c r="C14" s="22"/>
      <c r="E14" s="5" t="s">
        <v>21</v>
      </c>
      <c r="G14" s="22"/>
      <c r="J14" s="24"/>
    </row>
    <row r="15" spans="1:10" x14ac:dyDescent="0.25">
      <c r="A15" s="5" t="s">
        <v>11</v>
      </c>
      <c r="C15" s="22"/>
      <c r="E15" s="3"/>
      <c r="F15" s="10" t="s">
        <v>22</v>
      </c>
      <c r="G15" s="3"/>
      <c r="J15" s="10" t="s">
        <v>22</v>
      </c>
    </row>
    <row r="16" spans="1:10" x14ac:dyDescent="0.25">
      <c r="A16" s="5" t="s">
        <v>12</v>
      </c>
      <c r="C16" s="22"/>
      <c r="E16" s="5" t="s">
        <v>23</v>
      </c>
      <c r="G16" s="22"/>
      <c r="J16" s="24"/>
    </row>
    <row r="17" spans="1:10" x14ac:dyDescent="0.25">
      <c r="A17" s="5" t="s">
        <v>13</v>
      </c>
      <c r="C17" s="22"/>
      <c r="E17" s="5" t="s">
        <v>24</v>
      </c>
      <c r="G17" s="22"/>
      <c r="J17" s="24"/>
    </row>
    <row r="18" spans="1:10" x14ac:dyDescent="0.25">
      <c r="A18" s="5" t="s">
        <v>14</v>
      </c>
      <c r="C18" s="22"/>
      <c r="E18" s="5" t="s">
        <v>25</v>
      </c>
      <c r="G18" s="22"/>
      <c r="J18" s="24"/>
    </row>
    <row r="19" spans="1:10" x14ac:dyDescent="0.25">
      <c r="A19" s="5" t="s">
        <v>15</v>
      </c>
      <c r="C19" s="22"/>
      <c r="E19" s="5" t="s">
        <v>26</v>
      </c>
      <c r="G19" s="22"/>
      <c r="J19" s="24"/>
    </row>
    <row r="20" spans="1:10" x14ac:dyDescent="0.25">
      <c r="A20" s="5" t="s">
        <v>16</v>
      </c>
      <c r="C20" s="22"/>
      <c r="E20" s="5" t="s">
        <v>56</v>
      </c>
      <c r="G20" s="22"/>
      <c r="J20" s="24"/>
    </row>
    <row r="21" spans="1:10" x14ac:dyDescent="0.25">
      <c r="A21" s="5" t="s">
        <v>17</v>
      </c>
      <c r="C21" s="22"/>
      <c r="E21" s="5" t="s">
        <v>37</v>
      </c>
      <c r="G21" s="22"/>
      <c r="J21" s="24"/>
    </row>
    <row r="22" spans="1:10" x14ac:dyDescent="0.25">
      <c r="A22" s="5" t="s">
        <v>18</v>
      </c>
      <c r="C22" s="22"/>
      <c r="E22" s="5" t="s">
        <v>27</v>
      </c>
      <c r="G22" s="22"/>
      <c r="J22" s="24"/>
    </row>
    <row r="23" spans="1:10" x14ac:dyDescent="0.25">
      <c r="E23" s="5" t="s">
        <v>60</v>
      </c>
      <c r="G23" s="22"/>
      <c r="J23" s="24"/>
    </row>
    <row r="24" spans="1:10" x14ac:dyDescent="0.25">
      <c r="A24" s="3"/>
      <c r="B24" s="10" t="s">
        <v>28</v>
      </c>
      <c r="C24" s="10"/>
      <c r="I24" s="10" t="s">
        <v>28</v>
      </c>
    </row>
    <row r="25" spans="1:10" s="13" customFormat="1" ht="4.5" customHeight="1" x14ac:dyDescent="0.25">
      <c r="A25" s="11"/>
      <c r="B25" s="12"/>
      <c r="C25" s="11"/>
      <c r="E25" s="14"/>
      <c r="F25" s="12"/>
      <c r="G25" s="12"/>
      <c r="I25" s="23"/>
      <c r="J25" s="29"/>
    </row>
    <row r="26" spans="1:10" ht="15" customHeight="1" x14ac:dyDescent="0.25">
      <c r="A26" s="5" t="s">
        <v>29</v>
      </c>
      <c r="C26" s="20" t="str">
        <f>IF(I26=TRUE,"OK","")</f>
        <v/>
      </c>
      <c r="J26"/>
    </row>
    <row r="27" spans="1:10" x14ac:dyDescent="0.25">
      <c r="A27" s="5" t="s">
        <v>30</v>
      </c>
      <c r="C27" s="20" t="str">
        <f t="shared" ref="C27:C31" si="0">IF(I27=TRUE,"OK","")</f>
        <v/>
      </c>
      <c r="J27"/>
    </row>
    <row r="28" spans="1:10" x14ac:dyDescent="0.25">
      <c r="A28" s="5" t="s">
        <v>31</v>
      </c>
      <c r="C28" s="20" t="str">
        <f t="shared" si="0"/>
        <v/>
      </c>
      <c r="J28"/>
    </row>
    <row r="29" spans="1:10" x14ac:dyDescent="0.25">
      <c r="A29" s="5" t="s">
        <v>52</v>
      </c>
      <c r="C29" s="20" t="str">
        <f t="shared" si="0"/>
        <v/>
      </c>
      <c r="J29"/>
    </row>
    <row r="30" spans="1:10" x14ac:dyDescent="0.25">
      <c r="A30" s="5" t="s">
        <v>53</v>
      </c>
      <c r="C30" s="20"/>
      <c r="J30"/>
    </row>
    <row r="31" spans="1:10" x14ac:dyDescent="0.25">
      <c r="A31" s="5" t="s">
        <v>33</v>
      </c>
      <c r="C31" s="20" t="str">
        <f t="shared" si="0"/>
        <v/>
      </c>
      <c r="J31"/>
    </row>
    <row r="33" spans="1:10" x14ac:dyDescent="0.25">
      <c r="A33" s="31"/>
      <c r="B33" s="32"/>
      <c r="C33" s="35" t="s">
        <v>35</v>
      </c>
      <c r="D33" s="32"/>
      <c r="E33" s="32"/>
      <c r="F33" s="32"/>
      <c r="G33" s="32"/>
      <c r="I33" s="33"/>
      <c r="J33" s="34"/>
    </row>
    <row r="34" spans="1:10" ht="3.75" customHeight="1" thickBot="1" x14ac:dyDescent="0.3">
      <c r="A34"/>
      <c r="I34"/>
      <c r="J34"/>
    </row>
    <row r="35" spans="1:10" ht="15" customHeight="1" x14ac:dyDescent="0.25">
      <c r="A35" s="36" t="str">
        <f ca="1">ResultsPT!F26</f>
        <v xml:space="preserve">-[26-03-2020]  {NOME ?}  {IDENTIFICACAO?} 
-Situation pessoal:   
-Sintomes: 
-Informação epidemiologica:   
-Antecedentes: 
-Dados objectivos: </v>
      </c>
      <c r="B35" s="37"/>
      <c r="C35" s="37"/>
      <c r="D35" s="37"/>
      <c r="E35" s="37"/>
      <c r="F35" s="38"/>
    </row>
    <row r="36" spans="1:10" x14ac:dyDescent="0.25">
      <c r="A36" s="39"/>
      <c r="B36" s="40"/>
      <c r="C36" s="40"/>
      <c r="D36" s="40"/>
      <c r="E36" s="40"/>
      <c r="F36" s="41"/>
    </row>
    <row r="37" spans="1:10" x14ac:dyDescent="0.25">
      <c r="A37" s="39"/>
      <c r="B37" s="40"/>
      <c r="C37" s="40"/>
      <c r="D37" s="40"/>
      <c r="E37" s="40"/>
      <c r="F37" s="41"/>
    </row>
    <row r="38" spans="1:10" x14ac:dyDescent="0.25">
      <c r="A38" s="39"/>
      <c r="B38" s="40"/>
      <c r="C38" s="40"/>
      <c r="D38" s="40"/>
      <c r="E38" s="40"/>
      <c r="F38" s="41"/>
    </row>
    <row r="39" spans="1:10" x14ac:dyDescent="0.25">
      <c r="A39" s="39"/>
      <c r="B39" s="40"/>
      <c r="C39" s="40"/>
      <c r="D39" s="40"/>
      <c r="E39" s="40"/>
      <c r="F39" s="41"/>
    </row>
    <row r="40" spans="1:10" x14ac:dyDescent="0.25">
      <c r="A40" s="39"/>
      <c r="B40" s="40"/>
      <c r="C40" s="40"/>
      <c r="D40" s="40"/>
      <c r="E40" s="40"/>
      <c r="F40" s="41"/>
    </row>
    <row r="41" spans="1:10" x14ac:dyDescent="0.25">
      <c r="A41" s="39"/>
      <c r="B41" s="40"/>
      <c r="C41" s="40"/>
      <c r="D41" s="40"/>
      <c r="E41" s="40"/>
      <c r="F41" s="41"/>
    </row>
    <row r="42" spans="1:10" x14ac:dyDescent="0.25">
      <c r="A42" s="39"/>
      <c r="B42" s="40"/>
      <c r="C42" s="40"/>
      <c r="D42" s="40"/>
      <c r="E42" s="40"/>
      <c r="F42" s="41"/>
    </row>
    <row r="43" spans="1:10" x14ac:dyDescent="0.25">
      <c r="A43" s="39"/>
      <c r="B43" s="40"/>
      <c r="C43" s="40"/>
      <c r="D43" s="40"/>
      <c r="E43" s="40"/>
      <c r="F43" s="41"/>
    </row>
    <row r="44" spans="1:10" x14ac:dyDescent="0.25">
      <c r="A44" s="39"/>
      <c r="B44" s="40"/>
      <c r="C44" s="40"/>
      <c r="D44" s="40"/>
      <c r="E44" s="40"/>
      <c r="F44" s="41"/>
    </row>
    <row r="45" spans="1:10" x14ac:dyDescent="0.25">
      <c r="A45" s="39"/>
      <c r="B45" s="40"/>
      <c r="C45" s="40"/>
      <c r="D45" s="40"/>
      <c r="E45" s="40"/>
      <c r="F45" s="41"/>
    </row>
    <row r="46" spans="1:10" x14ac:dyDescent="0.25">
      <c r="A46" s="39"/>
      <c r="B46" s="40"/>
      <c r="C46" s="40"/>
      <c r="D46" s="40"/>
      <c r="E46" s="40"/>
      <c r="F46" s="41"/>
    </row>
    <row r="47" spans="1:10" x14ac:dyDescent="0.25">
      <c r="A47" s="39"/>
      <c r="B47" s="40"/>
      <c r="C47" s="40"/>
      <c r="D47" s="40"/>
      <c r="E47" s="40"/>
      <c r="F47" s="41"/>
    </row>
    <row r="48" spans="1:10" x14ac:dyDescent="0.25">
      <c r="A48" s="39"/>
      <c r="B48" s="40"/>
      <c r="C48" s="40"/>
      <c r="D48" s="40"/>
      <c r="E48" s="40"/>
      <c r="F48" s="41"/>
    </row>
    <row r="49" spans="1:6" x14ac:dyDescent="0.25">
      <c r="A49" s="39"/>
      <c r="B49" s="40"/>
      <c r="C49" s="40"/>
      <c r="D49" s="40"/>
      <c r="E49" s="40"/>
      <c r="F49" s="41"/>
    </row>
    <row r="50" spans="1:6" x14ac:dyDescent="0.25">
      <c r="A50" s="39"/>
      <c r="B50" s="40"/>
      <c r="C50" s="40"/>
      <c r="D50" s="40"/>
      <c r="E50" s="40"/>
      <c r="F50" s="41"/>
    </row>
    <row r="51" spans="1:6" x14ac:dyDescent="0.25">
      <c r="A51" s="39"/>
      <c r="B51" s="40"/>
      <c r="C51" s="40"/>
      <c r="D51" s="40"/>
      <c r="E51" s="40"/>
      <c r="F51" s="41"/>
    </row>
    <row r="52" spans="1:6" x14ac:dyDescent="0.25">
      <c r="A52" s="39"/>
      <c r="B52" s="40"/>
      <c r="C52" s="40"/>
      <c r="D52" s="40"/>
      <c r="E52" s="40"/>
      <c r="F52" s="41"/>
    </row>
    <row r="53" spans="1:6" x14ac:dyDescent="0.25">
      <c r="A53" s="39"/>
      <c r="B53" s="40"/>
      <c r="C53" s="40"/>
      <c r="D53" s="40"/>
      <c r="E53" s="40"/>
      <c r="F53" s="41"/>
    </row>
    <row r="54" spans="1:6" x14ac:dyDescent="0.25">
      <c r="A54" s="39"/>
      <c r="B54" s="40"/>
      <c r="C54" s="40"/>
      <c r="D54" s="40"/>
      <c r="E54" s="40"/>
      <c r="F54" s="41"/>
    </row>
    <row r="55" spans="1:6" x14ac:dyDescent="0.25">
      <c r="A55" s="39"/>
      <c r="B55" s="40"/>
      <c r="C55" s="40"/>
      <c r="D55" s="40"/>
      <c r="E55" s="40"/>
      <c r="F55" s="41"/>
    </row>
    <row r="56" spans="1:6" x14ac:dyDescent="0.25">
      <c r="A56" s="39"/>
      <c r="B56" s="40"/>
      <c r="C56" s="40"/>
      <c r="D56" s="40"/>
      <c r="E56" s="40"/>
      <c r="F56" s="41"/>
    </row>
    <row r="57" spans="1:6" x14ac:dyDescent="0.25">
      <c r="A57" s="39"/>
      <c r="B57" s="40"/>
      <c r="C57" s="40"/>
      <c r="D57" s="40"/>
      <c r="E57" s="40"/>
      <c r="F57" s="41"/>
    </row>
    <row r="58" spans="1:6" x14ac:dyDescent="0.25">
      <c r="A58" s="39"/>
      <c r="B58" s="40"/>
      <c r="C58" s="40"/>
      <c r="D58" s="40"/>
      <c r="E58" s="40"/>
      <c r="F58" s="41"/>
    </row>
    <row r="59" spans="1:6" x14ac:dyDescent="0.25">
      <c r="A59" s="39"/>
      <c r="B59" s="40"/>
      <c r="C59" s="40"/>
      <c r="D59" s="40"/>
      <c r="E59" s="40"/>
      <c r="F59" s="41"/>
    </row>
    <row r="60" spans="1:6" x14ac:dyDescent="0.25">
      <c r="A60" s="39"/>
      <c r="B60" s="40"/>
      <c r="C60" s="40"/>
      <c r="D60" s="40"/>
      <c r="E60" s="40"/>
      <c r="F60" s="41"/>
    </row>
    <row r="61" spans="1:6" x14ac:dyDescent="0.25">
      <c r="A61" s="39"/>
      <c r="B61" s="40"/>
      <c r="C61" s="40"/>
      <c r="D61" s="40"/>
      <c r="E61" s="40"/>
      <c r="F61" s="41"/>
    </row>
    <row r="62" spans="1:6" x14ac:dyDescent="0.25">
      <c r="A62" s="39"/>
      <c r="B62" s="40"/>
      <c r="C62" s="40"/>
      <c r="D62" s="40"/>
      <c r="E62" s="40"/>
      <c r="F62" s="41"/>
    </row>
    <row r="63" spans="1:6" x14ac:dyDescent="0.25">
      <c r="A63" s="39"/>
      <c r="B63" s="40"/>
      <c r="C63" s="40"/>
      <c r="D63" s="40"/>
      <c r="E63" s="40"/>
      <c r="F63" s="41"/>
    </row>
    <row r="64" spans="1:6" x14ac:dyDescent="0.25">
      <c r="A64" s="39"/>
      <c r="B64" s="40"/>
      <c r="C64" s="40"/>
      <c r="D64" s="40"/>
      <c r="E64" s="40"/>
      <c r="F64" s="41"/>
    </row>
  </sheetData>
  <sheetProtection algorithmName="SHA-512" hashValue="Ah5XxMYnGGFJ1HmMhqHsujMXRYbxiE1EPwql0ohiUiWgDRyd0LLuIuOvsIpwLzOaUczov2VYcSOHmcSi0rwqnQ==" saltValue="OYX51RGxWDEFwsi9MZo06g==" spinCount="100000" sheet="1" objects="1" scenarios="1" selectLockedCells="1"/>
  <mergeCells count="1">
    <mergeCell ref="A35:F64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5</xdr:col>
                    <xdr:colOff>19050</xdr:colOff>
                    <xdr:row>1</xdr:row>
                    <xdr:rowOff>47625</xdr:rowOff>
                  </from>
                  <to>
                    <xdr:col>5</xdr:col>
                    <xdr:colOff>276225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5</xdr:col>
                    <xdr:colOff>19050</xdr:colOff>
                    <xdr:row>2</xdr:row>
                    <xdr:rowOff>180975</xdr:rowOff>
                  </from>
                  <to>
                    <xdr:col>5</xdr:col>
                    <xdr:colOff>276225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8</xdr:row>
                    <xdr:rowOff>9525</xdr:rowOff>
                  </from>
                  <to>
                    <xdr:col>2</xdr:col>
                    <xdr:colOff>47625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defaultSize="0" autoFill="0" autoLine="0" autoPict="0">
                <anchor moveWithCells="1">
                  <from>
                    <xdr:col>1</xdr:col>
                    <xdr:colOff>19050</xdr:colOff>
                    <xdr:row>8</xdr:row>
                    <xdr:rowOff>171450</xdr:rowOff>
                  </from>
                  <to>
                    <xdr:col>1</xdr:col>
                    <xdr:colOff>276225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276225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defaultSize="0" autoFill="0" autoLine="0" autoPict="0">
                <anchor moveWithCells="1">
                  <from>
                    <xdr:col>1</xdr:col>
                    <xdr:colOff>19050</xdr:colOff>
                    <xdr:row>10</xdr:row>
                    <xdr:rowOff>180975</xdr:rowOff>
                  </from>
                  <to>
                    <xdr:col>2</xdr:col>
                    <xdr:colOff>114300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142875</xdr:rowOff>
                  </from>
                  <to>
                    <xdr:col>1</xdr:col>
                    <xdr:colOff>247650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defaultSize="0" autoFill="0" autoLine="0" autoPict="0">
                <anchor moveWithCells="1">
                  <from>
                    <xdr:col>1</xdr:col>
                    <xdr:colOff>19050</xdr:colOff>
                    <xdr:row>12</xdr:row>
                    <xdr:rowOff>142875</xdr:rowOff>
                  </from>
                  <to>
                    <xdr:col>1</xdr:col>
                    <xdr:colOff>247650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defaultSize="0" autoFill="0" autoLine="0" autoPict="0">
                <anchor moveWithCells="1">
                  <from>
                    <xdr:col>1</xdr:col>
                    <xdr:colOff>19050</xdr:colOff>
                    <xdr:row>13</xdr:row>
                    <xdr:rowOff>152400</xdr:rowOff>
                  </from>
                  <to>
                    <xdr:col>1</xdr:col>
                    <xdr:colOff>247650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defaultSize="0" autoFill="0" autoLine="0" autoPict="0">
                <anchor moveWithCells="1">
                  <from>
                    <xdr:col>1</xdr:col>
                    <xdr:colOff>19050</xdr:colOff>
                    <xdr:row>14</xdr:row>
                    <xdr:rowOff>152400</xdr:rowOff>
                  </from>
                  <to>
                    <xdr:col>1</xdr:col>
                    <xdr:colOff>247650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defaultSize="0" autoFill="0" autoLine="0" autoPict="0">
                <anchor moveWithCells="1">
                  <from>
                    <xdr:col>1</xdr:col>
                    <xdr:colOff>19050</xdr:colOff>
                    <xdr:row>15</xdr:row>
                    <xdr:rowOff>133350</xdr:rowOff>
                  </from>
                  <to>
                    <xdr:col>1</xdr:col>
                    <xdr:colOff>247650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defaultSize="0" autoFill="0" autoLine="0" autoPict="0">
                <anchor moveWithCells="1">
                  <from>
                    <xdr:col>1</xdr:col>
                    <xdr:colOff>19050</xdr:colOff>
                    <xdr:row>16</xdr:row>
                    <xdr:rowOff>152400</xdr:rowOff>
                  </from>
                  <to>
                    <xdr:col>1</xdr:col>
                    <xdr:colOff>247650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defaultSize="0" autoFill="0" autoLine="0" autoPict="0">
                <anchor moveWithCells="1">
                  <from>
                    <xdr:col>1</xdr:col>
                    <xdr:colOff>19050</xdr:colOff>
                    <xdr:row>17</xdr:row>
                    <xdr:rowOff>152400</xdr:rowOff>
                  </from>
                  <to>
                    <xdr:col>1</xdr:col>
                    <xdr:colOff>247650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defaultSize="0" autoFill="0" autoLine="0" autoPict="0">
                <anchor moveWithCells="1">
                  <from>
                    <xdr:col>1</xdr:col>
                    <xdr:colOff>19050</xdr:colOff>
                    <xdr:row>18</xdr:row>
                    <xdr:rowOff>142875</xdr:rowOff>
                  </from>
                  <to>
                    <xdr:col>1</xdr:col>
                    <xdr:colOff>247650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defaultSize="0" autoFill="0" autoLine="0" autoPict="0">
                <anchor moveWithCells="1">
                  <from>
                    <xdr:col>1</xdr:col>
                    <xdr:colOff>19050</xdr:colOff>
                    <xdr:row>19</xdr:row>
                    <xdr:rowOff>142875</xdr:rowOff>
                  </from>
                  <to>
                    <xdr:col>1</xdr:col>
                    <xdr:colOff>247650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defaultSize="0" autoFill="0" autoLine="0" autoPict="0">
                <anchor moveWithCells="1">
                  <from>
                    <xdr:col>1</xdr:col>
                    <xdr:colOff>19050</xdr:colOff>
                    <xdr:row>20</xdr:row>
                    <xdr:rowOff>152400</xdr:rowOff>
                  </from>
                  <to>
                    <xdr:col>1</xdr:col>
                    <xdr:colOff>247650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defaultSize="0" autoFill="0" autoLine="0" autoPict="0">
                <anchor moveWithCells="1">
                  <from>
                    <xdr:col>5</xdr:col>
                    <xdr:colOff>19050</xdr:colOff>
                    <xdr:row>8</xdr:row>
                    <xdr:rowOff>0</xdr:rowOff>
                  </from>
                  <to>
                    <xdr:col>5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defaultSize="0" autoFill="0" autoLine="0" autoPict="0">
                <anchor moveWithCells="1">
                  <from>
                    <xdr:col>5</xdr:col>
                    <xdr:colOff>28575</xdr:colOff>
                    <xdr:row>9</xdr:row>
                    <xdr:rowOff>142875</xdr:rowOff>
                  </from>
                  <to>
                    <xdr:col>5</xdr:col>
                    <xdr:colOff>257175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2" name="Check Box 20">
              <controlPr defaultSize="0" autoFill="0" autoLine="0" autoPict="0">
                <anchor moveWithCells="1">
                  <from>
                    <xdr:col>5</xdr:col>
                    <xdr:colOff>19050</xdr:colOff>
                    <xdr:row>14</xdr:row>
                    <xdr:rowOff>133350</xdr:rowOff>
                  </from>
                  <to>
                    <xdr:col>5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3" name="Check Box 21">
              <controlPr defaultSize="0" autoFill="0" autoLine="0" autoPict="0">
                <anchor moveWithCells="1">
                  <from>
                    <xdr:col>5</xdr:col>
                    <xdr:colOff>19050</xdr:colOff>
                    <xdr:row>15</xdr:row>
                    <xdr:rowOff>142875</xdr:rowOff>
                  </from>
                  <to>
                    <xdr:col>5</xdr:col>
                    <xdr:colOff>247650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4" name="Check Box 22">
              <controlPr defaultSize="0" autoFill="0" autoLine="0" autoPict="0">
                <anchor moveWithCells="1">
                  <from>
                    <xdr:col>5</xdr:col>
                    <xdr:colOff>19050</xdr:colOff>
                    <xdr:row>16</xdr:row>
                    <xdr:rowOff>142875</xdr:rowOff>
                  </from>
                  <to>
                    <xdr:col>5</xdr:col>
                    <xdr:colOff>247650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5" name="Check Box 23">
              <controlPr defaultSize="0" autoFill="0" autoLine="0" autoPict="0">
                <anchor moveWithCells="1">
                  <from>
                    <xdr:col>5</xdr:col>
                    <xdr:colOff>19050</xdr:colOff>
                    <xdr:row>17</xdr:row>
                    <xdr:rowOff>142875</xdr:rowOff>
                  </from>
                  <to>
                    <xdr:col>5</xdr:col>
                    <xdr:colOff>247650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6" name="Check Box 24">
              <controlPr defaultSize="0" autoFill="0" autoLine="0" autoPict="0">
                <anchor moveWithCells="1">
                  <from>
                    <xdr:col>5</xdr:col>
                    <xdr:colOff>19050</xdr:colOff>
                    <xdr:row>20</xdr:row>
                    <xdr:rowOff>152400</xdr:rowOff>
                  </from>
                  <to>
                    <xdr:col>5</xdr:col>
                    <xdr:colOff>247650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7" name="Check Box 25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9525</xdr:rowOff>
                  </from>
                  <to>
                    <xdr:col>1</xdr:col>
                    <xdr:colOff>238125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8" name="Check Box 26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152400</xdr:rowOff>
                  </from>
                  <to>
                    <xdr:col>1</xdr:col>
                    <xdr:colOff>238125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9" name="Check Box 27">
              <controlPr defaultSize="0" autoFill="0" autoLine="0" autoPict="0">
                <anchor moveWithCells="1">
                  <from>
                    <xdr:col>1</xdr:col>
                    <xdr:colOff>9525</xdr:colOff>
                    <xdr:row>26</xdr:row>
                    <xdr:rowOff>152400</xdr:rowOff>
                  </from>
                  <to>
                    <xdr:col>1</xdr:col>
                    <xdr:colOff>238125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0" name="Check Box 28">
              <controlPr defaultSize="0" autoFill="0" autoLine="0" autoPict="0">
                <anchor moveWithCells="1">
                  <from>
                    <xdr:col>1</xdr:col>
                    <xdr:colOff>9525</xdr:colOff>
                    <xdr:row>27</xdr:row>
                    <xdr:rowOff>142875</xdr:rowOff>
                  </from>
                  <to>
                    <xdr:col>1</xdr:col>
                    <xdr:colOff>238125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1" name="Check Box 29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161925</xdr:rowOff>
                  </from>
                  <to>
                    <xdr:col>1</xdr:col>
                    <xdr:colOff>247650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2" name="Button 31">
              <controlPr defaultSize="0" print="0" autoFill="0" autoPict="0" macro="[0]!reset">
                <anchor moveWithCells="1" sizeWithCells="1">
                  <from>
                    <xdr:col>6</xdr:col>
                    <xdr:colOff>1171575</xdr:colOff>
                    <xdr:row>34</xdr:row>
                    <xdr:rowOff>76200</xdr:rowOff>
                  </from>
                  <to>
                    <xdr:col>6</xdr:col>
                    <xdr:colOff>2581275</xdr:colOff>
                    <xdr:row>36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7CE84-5AFF-46EC-B3DB-A95558E64D79}">
  <sheetPr codeName="Sheet3"/>
  <dimension ref="A1:J35"/>
  <sheetViews>
    <sheetView topLeftCell="A4" zoomScale="70" zoomScaleNormal="70" workbookViewId="0">
      <selection activeCell="F32" sqref="F32"/>
    </sheetView>
  </sheetViews>
  <sheetFormatPr defaultRowHeight="15" x14ac:dyDescent="0.25"/>
  <cols>
    <col min="1" max="1" width="19.85546875" customWidth="1"/>
    <col min="2" max="2" width="2.85546875" customWidth="1"/>
    <col min="3" max="3" width="11.42578125" customWidth="1"/>
    <col min="4" max="4" width="15.42578125" bestFit="1" customWidth="1"/>
    <col min="5" max="5" width="31.140625" customWidth="1"/>
    <col min="6" max="6" width="45.42578125" bestFit="1" customWidth="1"/>
    <col min="7" max="7" width="9" customWidth="1"/>
  </cols>
  <sheetData>
    <row r="1" spans="1:10" x14ac:dyDescent="0.25">
      <c r="B1" t="s">
        <v>34</v>
      </c>
      <c r="G1" t="s">
        <v>3</v>
      </c>
    </row>
    <row r="3" spans="1:10" x14ac:dyDescent="0.25">
      <c r="A3" t="s">
        <v>42</v>
      </c>
      <c r="C3" s="15">
        <f>FormPT!I3</f>
        <v>0</v>
      </c>
      <c r="D3" s="16">
        <f ca="1">FormPT!C3</f>
        <v>43916</v>
      </c>
      <c r="E3" s="18" t="str">
        <f ca="1">_xlfn.CONCAT("[",TEXT(D3,"dd-mm-yyyy"),"]")</f>
        <v>[26-03-2020]</v>
      </c>
      <c r="F3" t="s">
        <v>47</v>
      </c>
      <c r="H3" s="15">
        <f>FormPT!J3</f>
        <v>0</v>
      </c>
      <c r="I3" s="15" t="str">
        <f>IF(FormPT!G3&lt;&gt;0,_xlfn.CONCAT(" (",FormPT!G3,")"),"")</f>
        <v/>
      </c>
      <c r="J3" s="18" t="str">
        <f>IF(H3=0,"",IF(H3=TRUE,_xlfn.CONCAT("Cumpra isolamente",I3,","),_xlfn.CONCAT("Não cumpra isolamente",I3,",")))</f>
        <v/>
      </c>
    </row>
    <row r="4" spans="1:10" x14ac:dyDescent="0.25">
      <c r="A4" t="s">
        <v>40</v>
      </c>
      <c r="C4" s="15">
        <f>FormPT!I4</f>
        <v>0</v>
      </c>
      <c r="D4" s="15">
        <f>FormPT!C4</f>
        <v>0</v>
      </c>
      <c r="E4" s="18" t="str">
        <f>+IF(D4&lt;&gt;0, D4," {NOME ?} ")</f>
        <v xml:space="preserve"> {NOME ?} </v>
      </c>
      <c r="F4" t="s">
        <v>46</v>
      </c>
      <c r="H4" s="15">
        <f>FormPT!J4</f>
        <v>0</v>
      </c>
      <c r="I4" s="15" t="str">
        <f>IF(FormPT!G4&lt;&gt;0,_xlfn.CONCAT(" (",FormPT!G4,")"),"")</f>
        <v/>
      </c>
      <c r="J4" s="18" t="str">
        <f>IF(H4=0,"",IF(H4=TRUE,_xlfn.CONCAT("tem apoio em compras/refeições",I4,","),_xlfn.CONCAT("Não tem apoio em compras/refeições",I4,",")))</f>
        <v/>
      </c>
    </row>
    <row r="5" spans="1:10" x14ac:dyDescent="0.25">
      <c r="A5" t="s">
        <v>2</v>
      </c>
      <c r="C5" s="15">
        <f>FormPT!I5</f>
        <v>0</v>
      </c>
      <c r="D5" s="15">
        <f>FormPT!C5</f>
        <v>0</v>
      </c>
      <c r="E5" s="18" t="str">
        <f>+IF(D5&lt;&gt;0,_xlfn.CONCAT(" - ",D5)," {IDENTIFICACAO?} ")</f>
        <v xml:space="preserve"> {IDENTIFICACAO?} </v>
      </c>
      <c r="F5" t="s">
        <v>48</v>
      </c>
      <c r="I5" s="15" t="str">
        <f>IF(FormPT!G5&lt;&gt;0,FormPT!G5,"")</f>
        <v/>
      </c>
      <c r="J5" s="18" t="str">
        <f>IF(I5&lt;&gt;"",_xlfn.CONCAT("Psicologicamente",s,I5),"")</f>
        <v/>
      </c>
    </row>
    <row r="6" spans="1:10" x14ac:dyDescent="0.25">
      <c r="E6" s="17" t="str">
        <f ca="1">_xlfn.CONCAT(E3,s,E4,E5)</f>
        <v xml:space="preserve">[26-03-2020]  {NOME ?}  {IDENTIFICACAO?} </v>
      </c>
      <c r="J6" s="17" t="str">
        <f>_xlfn.CONCAT("Situation pessoal:",s,J3,s,J4,s,J5)</f>
        <v xml:space="preserve">Situation pessoal:   </v>
      </c>
    </row>
    <row r="7" spans="1:10" x14ac:dyDescent="0.25">
      <c r="B7" t="s">
        <v>4</v>
      </c>
      <c r="G7" t="s">
        <v>19</v>
      </c>
    </row>
    <row r="9" spans="1:10" x14ac:dyDescent="0.25">
      <c r="A9" t="s">
        <v>5</v>
      </c>
      <c r="C9" s="15">
        <f>FormPT!I9</f>
        <v>0</v>
      </c>
      <c r="D9" s="15" t="str">
        <f>IF(FormPT!C9&lt;&gt;0,_xlfn.CONCAT("(",FormPT!C9,")"),"")</f>
        <v/>
      </c>
      <c r="E9" s="18" t="str">
        <f t="shared" ref="E9:E22" si="0">IF(C9=TRUE,_xlfn.CONCAT(A9,s,D9,", "),"")</f>
        <v/>
      </c>
      <c r="F9" s="19" t="s">
        <v>44</v>
      </c>
      <c r="H9" s="15">
        <f>FormPT!J9</f>
        <v>0</v>
      </c>
      <c r="I9" s="15" t="str">
        <f>IF(FormPT!G9&lt;&gt;0,_xlfn.CONCAT(" (",FormPT!G9,")"),"")</f>
        <v/>
      </c>
      <c r="J9" s="18" t="str">
        <f>IF(H9=0,"",IF(H9=TRUE,_xlfn.CONCAT("Teve contact direto com caso confirmado/suspeito assintomático",I9,","),_xlfn.CONCAT("Não teve contact direto com caso confirmado/suspeito assintomático",I9,",")))</f>
        <v/>
      </c>
    </row>
    <row r="10" spans="1:10" x14ac:dyDescent="0.25">
      <c r="A10" t="s">
        <v>6</v>
      </c>
      <c r="C10" s="15">
        <f>FormPT!I10</f>
        <v>0</v>
      </c>
      <c r="D10" s="15" t="str">
        <f>IF(FormPT!C10&lt;&gt;0,_xlfn.CONCAT(" (",FormPT!C10,")"),"")</f>
        <v/>
      </c>
      <c r="E10" s="18" t="str">
        <f t="shared" si="0"/>
        <v/>
      </c>
      <c r="F10" t="s">
        <v>39</v>
      </c>
    </row>
    <row r="11" spans="1:10" x14ac:dyDescent="0.25">
      <c r="A11" t="s">
        <v>7</v>
      </c>
      <c r="C11" s="15">
        <f>FormPT!I11</f>
        <v>0</v>
      </c>
      <c r="D11" s="15" t="str">
        <f>IF(FormPT!C11&lt;&gt;0,_xlfn.CONCAT(" (",FormPT!C11,")"),"")</f>
        <v/>
      </c>
      <c r="E11" s="18" t="str">
        <f t="shared" si="0"/>
        <v/>
      </c>
      <c r="F11" t="s">
        <v>45</v>
      </c>
      <c r="H11" s="15">
        <f>FormPT!J11</f>
        <v>0</v>
      </c>
      <c r="I11" s="15" t="str">
        <f>IF(FormPT!G11&lt;&gt;0,_xlfn.CONCAT(" (",FormPT!G11,")"),"")</f>
        <v/>
      </c>
      <c r="J11" s="18" t="str">
        <f>IF(H11=0,"",IF(H11=TRUE,_xlfn.CONCAT("Estadia em área de transmissão local nos 14 dias que antecedem o início dos sintomas",I11,","),_xlfn.CONCAT("Não estadia em área de transmissão local nos 14 dias que antecedem o início dos sintomas",I11,",")))</f>
        <v/>
      </c>
    </row>
    <row r="12" spans="1:10" x14ac:dyDescent="0.25">
      <c r="A12" t="s">
        <v>8</v>
      </c>
      <c r="C12" s="15">
        <f>FormPT!I12</f>
        <v>0</v>
      </c>
      <c r="D12" s="15" t="str">
        <f>IF(FormPT!C12&lt;&gt;0,_xlfn.CONCAT(" (",FormPT!C12,")"),"")</f>
        <v/>
      </c>
      <c r="E12" s="18" t="str">
        <f t="shared" si="0"/>
        <v/>
      </c>
      <c r="F12" t="s">
        <v>38</v>
      </c>
      <c r="J12" s="17" t="str">
        <f>_xlfn.CONCAT("Informação epidemiologica:",s,J9,s,J10,s,J11)</f>
        <v xml:space="preserve">Informação epidemiologica:   </v>
      </c>
    </row>
    <row r="13" spans="1:10" x14ac:dyDescent="0.25">
      <c r="A13" t="s">
        <v>9</v>
      </c>
      <c r="C13" s="15">
        <f>FormPT!I13</f>
        <v>0</v>
      </c>
      <c r="D13" s="15" t="str">
        <f>IF(FormPT!C13&lt;&gt;0,_xlfn.CONCAT(" (",FormPT!C13,")"),"")</f>
        <v/>
      </c>
      <c r="E13" s="18" t="str">
        <f t="shared" si="0"/>
        <v/>
      </c>
      <c r="G13" t="s">
        <v>20</v>
      </c>
    </row>
    <row r="14" spans="1:10" x14ac:dyDescent="0.25">
      <c r="A14" t="s">
        <v>10</v>
      </c>
      <c r="C14" s="15">
        <f>FormPT!I14</f>
        <v>0</v>
      </c>
      <c r="D14" s="15" t="str">
        <f>IF(FormPT!C14&lt;&gt;0,_xlfn.CONCAT(" (",FormPT!C14,")"),"")</f>
        <v/>
      </c>
      <c r="E14" s="18" t="str">
        <f t="shared" si="0"/>
        <v/>
      </c>
      <c r="F14" t="s">
        <v>21</v>
      </c>
      <c r="I14" s="15" t="str">
        <f>IF(FormPT!G14&lt;&gt;0,FormPT!G14,"")</f>
        <v/>
      </c>
      <c r="J14" s="17" t="str">
        <f>_xlfn.CONCAT("Antecedentes:",s,I14)</f>
        <v xml:space="preserve">Antecedentes: </v>
      </c>
    </row>
    <row r="15" spans="1:10" x14ac:dyDescent="0.25">
      <c r="A15" t="s">
        <v>11</v>
      </c>
      <c r="C15" s="15">
        <f>FormPT!I15</f>
        <v>0</v>
      </c>
      <c r="D15" s="15" t="str">
        <f>IF(FormPT!C15&lt;&gt;0,_xlfn.CONCAT(" (",FormPT!C15,")"),"")</f>
        <v/>
      </c>
      <c r="E15" s="18" t="str">
        <f t="shared" si="0"/>
        <v/>
      </c>
      <c r="G15" t="s">
        <v>22</v>
      </c>
    </row>
    <row r="16" spans="1:10" x14ac:dyDescent="0.25">
      <c r="A16" t="s">
        <v>12</v>
      </c>
      <c r="C16" s="15">
        <f>FormPT!I16</f>
        <v>0</v>
      </c>
      <c r="D16" s="15" t="str">
        <f>IF(FormPT!C16&lt;&gt;0,_xlfn.CONCAT(" (",FormPT!C16,")"),"")</f>
        <v/>
      </c>
      <c r="E16" s="18" t="str">
        <f t="shared" si="0"/>
        <v/>
      </c>
      <c r="F16" t="s">
        <v>23</v>
      </c>
      <c r="H16" s="15">
        <f>FormPT!J16</f>
        <v>0</v>
      </c>
      <c r="I16" s="15" t="str">
        <f>IF(FormPT!G16&lt;&gt;0,_xlfn.CONCAT(" (",FormPT!G16,")"),"")</f>
        <v/>
      </c>
      <c r="J16" s="18" t="str">
        <f>IF(H16=0,"",IF(H16=TRUE,_xlfn.CONCAT("Bom estado geral",I16,","),_xlfn.CONCAT("Estado geral ma",I16,",")))</f>
        <v/>
      </c>
    </row>
    <row r="17" spans="1:10" x14ac:dyDescent="0.25">
      <c r="A17" t="s">
        <v>13</v>
      </c>
      <c r="C17" s="15">
        <f>FormPT!I17</f>
        <v>0</v>
      </c>
      <c r="D17" s="15" t="str">
        <f>IF(FormPT!C17&lt;&gt;0,_xlfn.CONCAT(" (",FormPT!C17,")"),"")</f>
        <v/>
      </c>
      <c r="E17" s="18" t="str">
        <f t="shared" si="0"/>
        <v/>
      </c>
      <c r="F17" t="s">
        <v>24</v>
      </c>
      <c r="H17" s="15">
        <f>FormPT!J17</f>
        <v>0</v>
      </c>
      <c r="I17" s="15" t="str">
        <f>IF(FormPT!G17&lt;&gt;0,_xlfn.CONCAT(" (",FormPT!G17,")"),"")</f>
        <v/>
      </c>
      <c r="J17" s="18" t="str">
        <f>IF(H17=0,"",IF(H17=TRUE,_xlfn.CONCAT("Discurso fluente",I17,","),_xlfn.CONCAT("Discurso não fluente",I17,",")))</f>
        <v/>
      </c>
    </row>
    <row r="18" spans="1:10" x14ac:dyDescent="0.25">
      <c r="A18" t="s">
        <v>14</v>
      </c>
      <c r="C18" s="15">
        <f>FormPT!I18</f>
        <v>0</v>
      </c>
      <c r="D18" s="15" t="str">
        <f>IF(FormPT!C18&lt;&gt;0,_xlfn.CONCAT(" (",FormPT!C18,")"),"")</f>
        <v/>
      </c>
      <c r="E18" s="18" t="str">
        <f t="shared" si="0"/>
        <v/>
      </c>
      <c r="F18" t="s">
        <v>25</v>
      </c>
      <c r="H18" s="15">
        <f>FormPT!J18</f>
        <v>0</v>
      </c>
      <c r="I18" s="15" t="str">
        <f>IF(FormPT!G18&lt;&gt;0,_xlfn.CONCAT(" (",FormPT!G18,")"),"")</f>
        <v/>
      </c>
      <c r="J18" s="18" t="str">
        <f>IF(H18=0,"",IF(H18=TRUE,_xlfn.CONCAT("Normalmente corado e hidratado",I18,","),_xlfn.CONCAT("Não corado e hidratado normalemente",I18,",")))</f>
        <v/>
      </c>
    </row>
    <row r="19" spans="1:10" x14ac:dyDescent="0.25">
      <c r="A19" t="s">
        <v>15</v>
      </c>
      <c r="C19" s="15">
        <f>FormPT!I19</f>
        <v>0</v>
      </c>
      <c r="D19" s="15" t="str">
        <f>IF(FormPT!C19&lt;&gt;0,_xlfn.CONCAT(" (",FormPT!C19,")"),"")</f>
        <v/>
      </c>
      <c r="E19" s="18" t="str">
        <f t="shared" si="0"/>
        <v/>
      </c>
      <c r="F19" t="s">
        <v>26</v>
      </c>
      <c r="H19" s="15">
        <f>FormPT!J19</f>
        <v>0</v>
      </c>
      <c r="I19" s="15" t="str">
        <f>IF(FormPT!G19&lt;&gt;0,_xlfn.CONCAT(" (",FormPT!G19,")"),"")</f>
        <v/>
      </c>
      <c r="J19" s="18" t="str">
        <f>IF(H19=0,"",IF(H19=TRUE,_xlfn.CONCAT("Com temperatura/sudorese",I19,","),_xlfn.CONCAT("Sem temperatura/sudorese",I19,",")))</f>
        <v/>
      </c>
    </row>
    <row r="20" spans="1:10" x14ac:dyDescent="0.25">
      <c r="A20" t="s">
        <v>16</v>
      </c>
      <c r="C20" s="15">
        <f>FormPT!I20</f>
        <v>0</v>
      </c>
      <c r="D20" s="15" t="str">
        <f>IF(FormPT!C20&lt;&gt;0,_xlfn.CONCAT(" (",FormPT!C20,")"),"")</f>
        <v/>
      </c>
      <c r="E20" s="18" t="str">
        <f t="shared" si="0"/>
        <v/>
      </c>
      <c r="F20" t="s">
        <v>36</v>
      </c>
      <c r="I20" s="15" t="str">
        <f>IF(FormPT!G20&lt;&gt;0,_xlfn.CONCAT(" (",FormPT!G20,")"),"")</f>
        <v/>
      </c>
      <c r="J20" s="18" t="str">
        <f>IF(I20&lt;&gt;"",_xlfn.CONCAT("TA =",s,I20),"")</f>
        <v/>
      </c>
    </row>
    <row r="21" spans="1:10" x14ac:dyDescent="0.25">
      <c r="A21" t="s">
        <v>17</v>
      </c>
      <c r="C21" s="15">
        <f>FormPT!I21</f>
        <v>0</v>
      </c>
      <c r="D21" s="15" t="str">
        <f>IF(FormPT!C21&lt;&gt;0,_xlfn.CONCAT(" (",FormPT!C21,")"),"")</f>
        <v/>
      </c>
      <c r="E21" s="18" t="str">
        <f t="shared" si="0"/>
        <v/>
      </c>
      <c r="F21" t="s">
        <v>37</v>
      </c>
      <c r="I21" s="15" t="str">
        <f>IF(FormPT!G21&lt;&gt;0,_xlfn.CONCAT(" (",FormPT!G21,")"),"")</f>
        <v/>
      </c>
      <c r="J21" s="18" t="str">
        <f>IF(I21&lt;&gt;"",_xlfn.CONCAT("FC =",s,I21),"")</f>
        <v/>
      </c>
    </row>
    <row r="22" spans="1:10" x14ac:dyDescent="0.25">
      <c r="A22" t="s">
        <v>18</v>
      </c>
      <c r="C22" s="15">
        <f>FormPT!I22</f>
        <v>0</v>
      </c>
      <c r="D22" s="15" t="str">
        <f>IF(FormPT!C22&lt;&gt;0,_xlfn.CONCAT(" (",FormPT!C22,")"),"")</f>
        <v/>
      </c>
      <c r="E22" s="18" t="str">
        <f t="shared" si="0"/>
        <v/>
      </c>
      <c r="F22" t="s">
        <v>27</v>
      </c>
      <c r="H22" s="15">
        <f>FormPT!J22</f>
        <v>0</v>
      </c>
      <c r="I22" s="15">
        <f>FormPT!G22</f>
        <v>0</v>
      </c>
      <c r="J22" s="18" t="str">
        <f>IF(H22=0,"",IF(H22=TRUE,_xlfn.CONCAT("Com edemas",I22,","),_xlfn.CONCAT("Sem edema",I22,",")))</f>
        <v/>
      </c>
    </row>
    <row r="23" spans="1:10" x14ac:dyDescent="0.25">
      <c r="E23" s="17" t="str">
        <f>_xlfn.CONCAT("Sintomes:",s,E9,E10,E11,E12,E13,E14,E15,E16,E17,E18,E19,E20,E21,E22)</f>
        <v xml:space="preserve">Sintomes: </v>
      </c>
      <c r="F23" t="s">
        <v>61</v>
      </c>
      <c r="I23" s="15" t="str">
        <f>IF(FormPT!G23&lt;&gt;0,FormPT!G23,"")</f>
        <v/>
      </c>
      <c r="J23" s="18" t="str">
        <f>I23</f>
        <v/>
      </c>
    </row>
    <row r="24" spans="1:10" x14ac:dyDescent="0.25">
      <c r="B24" t="s">
        <v>28</v>
      </c>
      <c r="F24" s="1" t="s">
        <v>35</v>
      </c>
      <c r="J24" s="17" t="str">
        <f>_xlfn.CONCAT("Dados objectivos: ",J16,J17,J18,J19,J20,J21,J22,J23)</f>
        <v xml:space="preserve">Dados objectivos: </v>
      </c>
    </row>
    <row r="26" spans="1:10" x14ac:dyDescent="0.25">
      <c r="A26" t="s">
        <v>29</v>
      </c>
      <c r="C26" s="15">
        <f>FormPT!I26</f>
        <v>0</v>
      </c>
      <c r="F26" s="28" t="str">
        <f ca="1">_xlfn.CONCAT("-",E6,l,"-",J6,l,"-",E23,l,"-",J12,l,"-",J14,l,"-",J24)</f>
        <v xml:space="preserve">-[26-03-2020]  {NOME ?}  {IDENTIFICACAO?} 
-Situation pessoal:   
-Sintomes: 
-Informação epidemiologica:   
-Antecedentes: 
-Dados objectivos: </v>
      </c>
    </row>
    <row r="27" spans="1:10" x14ac:dyDescent="0.25">
      <c r="A27" t="s">
        <v>30</v>
      </c>
      <c r="C27" s="15">
        <f>FormPT!I27</f>
        <v>0</v>
      </c>
      <c r="F27" s="28"/>
    </row>
    <row r="28" spans="1:10" x14ac:dyDescent="0.25">
      <c r="A28" t="s">
        <v>31</v>
      </c>
      <c r="C28" s="15">
        <f>FormPT!I28</f>
        <v>0</v>
      </c>
      <c r="F28" s="28"/>
    </row>
    <row r="29" spans="1:10" x14ac:dyDescent="0.25">
      <c r="A29" t="s">
        <v>32</v>
      </c>
      <c r="C29" s="15">
        <f>FormPT!I29</f>
        <v>0</v>
      </c>
      <c r="F29" s="28"/>
    </row>
    <row r="30" spans="1:10" x14ac:dyDescent="0.25">
      <c r="A30" t="s">
        <v>33</v>
      </c>
      <c r="C30" s="15">
        <f>FormPT!I31</f>
        <v>0</v>
      </c>
      <c r="F30" s="28"/>
    </row>
    <row r="31" spans="1:10" x14ac:dyDescent="0.25">
      <c r="F31" s="28"/>
    </row>
    <row r="35" spans="6:6" x14ac:dyDescent="0.25">
      <c r="F35" s="27"/>
    </row>
  </sheetData>
  <mergeCells count="1">
    <mergeCell ref="F26:F3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95718-8DE5-423D-A0CB-556A4E5EEFD5}">
  <sheetPr codeName="Sheet5"/>
  <dimension ref="A1:A2"/>
  <sheetViews>
    <sheetView workbookViewId="0">
      <selection activeCell="F26" sqref="F26:F31"/>
    </sheetView>
  </sheetViews>
  <sheetFormatPr defaultRowHeight="15" x14ac:dyDescent="0.25"/>
  <sheetData>
    <row r="1" spans="1:1" x14ac:dyDescent="0.25">
      <c r="A1" t="s">
        <v>43</v>
      </c>
    </row>
    <row r="2" spans="1:1" ht="30" x14ac:dyDescent="0.25">
      <c r="A2" s="26" t="str">
        <f>CHAR(10)</f>
        <v xml:space="preserve">
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Readme</vt:lpstr>
      <vt:lpstr>FormPT</vt:lpstr>
      <vt:lpstr>ResultsPT</vt:lpstr>
      <vt:lpstr>data</vt:lpstr>
      <vt:lpstr>l</vt:lpstr>
      <vt:lpstr>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Etienne</dc:creator>
  <cp:lastModifiedBy>Etienne</cp:lastModifiedBy>
  <dcterms:created xsi:type="dcterms:W3CDTF">2020-03-26T15:58:43Z</dcterms:created>
  <dcterms:modified xsi:type="dcterms:W3CDTF">2020-03-26T19:48:34Z</dcterms:modified>
</cp:coreProperties>
</file>